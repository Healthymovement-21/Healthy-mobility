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e" sheetId="1" state="visible" r:id="rId1"/>
    <sheet xmlns:r="http://schemas.openxmlformats.org/officeDocument/2006/relationships" name="Preis-Kalkulation" sheetId="2" state="visible" r:id="rId2"/>
    <sheet xmlns:r="http://schemas.openxmlformats.org/officeDocument/2006/relationships" name="Steuer-Rücklage" sheetId="3" state="visible" r:id="rId3"/>
    <sheet xmlns:r="http://schemas.openxmlformats.org/officeDocument/2006/relationships" name="EÜR" sheetId="4" state="visible" r:id="rId4"/>
    <sheet xmlns:r="http://schemas.openxmlformats.org/officeDocument/2006/relationships" name="Dokument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&quot; €&quot;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16221E"/>
      <sz val="11"/>
    </font>
    <font>
      <name val="Arial"/>
      <color rgb="0016221E"/>
      <sz val="10"/>
    </font>
    <font>
      <name val="Arial"/>
      <b val="1"/>
      <color rgb="0016221E"/>
      <sz val="10"/>
    </font>
    <font>
      <name val="Arial"/>
      <b val="1"/>
      <color rgb="00145C56"/>
      <sz val="11"/>
    </font>
    <font>
      <name val="Arial"/>
      <color rgb="0056645D"/>
      <sz val="10"/>
    </font>
    <font>
      <name val="Arial"/>
      <color rgb="001B1B1B"/>
      <sz val="10"/>
    </font>
    <font>
      <name val="Arial"/>
      <b val="1"/>
      <color rgb="00145C56"/>
      <sz val="10"/>
    </font>
    <font>
      <name val="Arial"/>
      <i val="1"/>
      <color rgb="0056645D"/>
      <sz val="10"/>
    </font>
    <font>
      <name val="Arial"/>
      <b val="1"/>
      <color rgb="FF0F6B5C"/>
      <sz val="14"/>
    </font>
    <font>
      <name val="Arial"/>
      <b val="1"/>
      <color rgb="FF0F6B5C"/>
      <sz val="11"/>
    </font>
    <font>
      <name val="Arial"/>
      <b val="1"/>
      <color rgb="FF0F6B5C"/>
      <sz val="10"/>
    </font>
  </fonts>
  <fills count="6">
    <fill>
      <patternFill/>
    </fill>
    <fill>
      <patternFill patternType="gray125"/>
    </fill>
    <fill>
      <patternFill patternType="solid">
        <fgColor rgb="00145C56"/>
      </patternFill>
    </fill>
    <fill>
      <patternFill patternType="solid">
        <fgColor rgb="00FFF2B2"/>
      </patternFill>
    </fill>
    <fill>
      <patternFill patternType="solid">
        <fgColor rgb="00DCEAE6"/>
      </patternFill>
    </fill>
    <fill>
      <patternFill patternType="solid">
        <fgColor rgb="FFE3F0EC"/>
      </patternFill>
    </fill>
  </fills>
  <borders count="2">
    <border>
      <left/>
      <right/>
      <top/>
      <bottom/>
      <diagonal/>
    </border>
    <border>
      <left style="thin">
        <color rgb="00C7D1C9"/>
      </left>
      <right style="thin">
        <color rgb="00C7D1C9"/>
      </right>
      <top style="thin">
        <color rgb="00C7D1C9"/>
      </top>
      <bottom style="thin">
        <color rgb="00C7D1C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7" fillId="3" borderId="1" applyAlignment="1" pivotButton="0" quotePrefix="0" xfId="0">
      <alignment horizontal="right"/>
    </xf>
    <xf numFmtId="165" fontId="7" fillId="3" borderId="1" applyAlignment="1" pivotButton="0" quotePrefix="0" xfId="0">
      <alignment horizontal="right"/>
    </xf>
    <xf numFmtId="1" fontId="7" fillId="3" borderId="1" applyAlignment="1" pivotButton="0" quotePrefix="0" xfId="0">
      <alignment horizontal="right"/>
    </xf>
    <xf numFmtId="166" fontId="7" fillId="3" borderId="1" applyAlignment="1" pivotButton="0" quotePrefix="0" xfId="0">
      <alignment horizontal="right"/>
    </xf>
    <xf numFmtId="0" fontId="4" fillId="0" borderId="0" pivotButton="0" quotePrefix="0" xfId="0"/>
    <xf numFmtId="164" fontId="3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0" fontId="8" fillId="0" borderId="0" pivotButton="0" quotePrefix="0" xfId="0"/>
    <xf numFmtId="164" fontId="5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center" wrapText="1"/>
    </xf>
    <xf numFmtId="0" fontId="3" fillId="0" borderId="1" pivotButton="0" quotePrefix="0" xfId="0"/>
    <xf numFmtId="164" fontId="7" fillId="3" borderId="1" pivotButton="0" quotePrefix="0" xfId="0"/>
    <xf numFmtId="0" fontId="8" fillId="0" borderId="1" pivotButton="0" quotePrefix="0" xfId="0"/>
    <xf numFmtId="0" fontId="3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0" applyAlignment="1" pivotButton="0" quotePrefix="0" xfId="0">
      <alignment vertical="center" indent="1"/>
    </xf>
    <xf numFmtId="0" fontId="4" fillId="5" borderId="0" pivotButton="0" quotePrefix="0" xfId="0"/>
    <xf numFmtId="0" fontId="11" fillId="0" borderId="0" pivotButton="0" quotePrefix="0" xfId="0"/>
    <xf numFmtId="164" fontId="7" fillId="5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1" fontId="7" fillId="5" borderId="1" applyAlignment="1" pivotButton="0" quotePrefix="0" xfId="0">
      <alignment horizontal="right"/>
    </xf>
    <xf numFmtId="166" fontId="7" fillId="5" borderId="1" applyAlignment="1" pivotButton="0" quotePrefix="0" xfId="0">
      <alignment horizontal="right"/>
    </xf>
    <xf numFmtId="0" fontId="12" fillId="0" borderId="0" pivotButton="0" quotePrefix="0" xfId="0"/>
    <xf numFmtId="164" fontId="11" fillId="0" borderId="1" applyAlignment="1" pivotButton="0" quotePrefix="0" xfId="0">
      <alignment horizontal="right"/>
    </xf>
    <xf numFmtId="164" fontId="7" fillId="5" borderId="1" pivotButton="0" quotePrefix="0" xfId="0"/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PhysioNebenbei</author>
  </authors>
  <commentList>
    <comment ref="B6" authorId="0" shapeId="0">
      <text>
        <t>Was du dir nach Steuern übrig lassen willst.</t>
      </text>
    </comment>
    <comment ref="B7" authorId="0" shapeId="0">
      <text>
        <t>Dein persönlicher Grenzsteuersatz laut letzter Steuererklärung oder Steuerberater:in.</t>
      </text>
    </comment>
  </commentList>
</comments>
</file>

<file path=xl/comments/comment2.xml><?xml version="1.0" encoding="utf-8"?>
<comments xmlns="http://schemas.openxmlformats.org/spreadsheetml/2006/main">
  <authors>
    <author>PhysioNebenbei</author>
  </authors>
  <commentList>
    <comment ref="B16" authorId="0" shapeId="0">
      <text>
        <t>Ohne Kirchensteuer und Soli.</t>
      </text>
    </comment>
    <comment ref="B17" authorId="0" shapeId="0">
      <text>
        <t>Kleiner Puffer obendrauf, damit die Rücklage auch bei Fehleinschätzung reicht.</t>
      </text>
    </comment>
  </commentList>
</comments>
</file>

<file path=xl/comments/comment3.xml><?xml version="1.0" encoding="utf-8"?>
<comments xmlns="http://schemas.openxmlformats.org/spreadsheetml/2006/main">
  <authors>
    <author>PhysioNebenbei</author>
  </authors>
  <commentList>
    <comment ref="A5" authorId="0" shapeId="0">
      <text>
        <t>Beispielzeile — kannst du löschen oder überschreiben.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26" customHeight="1">
      <c r="A1" s="23" t="inlineStr">
        <is>
          <t>PhysioNebenbei — Werkzeuge zum Rechnen</t>
        </is>
      </c>
    </row>
    <row r="2" ht="16" customHeight="1"/>
    <row r="3" ht="16" customHeight="1">
      <c r="B3" s="2" t="inlineStr">
        <is>
          <t>Diese Arbeitsmappe gehört zum Physio-Nebenjob-Fahrplan und enthält vier Rechner:</t>
        </is>
      </c>
    </row>
    <row r="4" ht="16" customHeight="1"/>
    <row r="5" ht="16" customHeight="1">
      <c r="B5" s="3" t="inlineStr">
        <is>
          <t>•  Preis-Kalkulation — was du pro Behandlung verlangen musst, um dein Wunscheinkommen zu erreichen.</t>
        </is>
      </c>
    </row>
    <row r="6" ht="16" customHeight="1">
      <c r="B6" s="3" t="inlineStr">
        <is>
          <t>•  Steuer-Rücklage — Gewinn, geschätzte Steuer und empfohlene Rücklage aus deinen echten Zahlen.</t>
        </is>
      </c>
    </row>
    <row r="7" ht="16" customHeight="1">
      <c r="B7" s="3" t="inlineStr">
        <is>
          <t>•  EÜR (Jahresübersicht) — die vereinfachte Einnahmen-Überschuss-Rechnung, Monat für Monat.</t>
        </is>
      </c>
    </row>
    <row r="8" ht="16" customHeight="1">
      <c r="B8" s="3" t="inlineStr">
        <is>
          <t>•  Dokumentation — Vorlage für deine Behandlungsdokumentation, zum fortlaufenden Ausfüllen.</t>
        </is>
      </c>
    </row>
    <row r="9" ht="16" customHeight="1"/>
    <row r="10" ht="16" customHeight="1">
      <c r="B10" s="24" t="inlineStr">
        <is>
          <t>Gelb hinterlegte Zellen sind zum Ausfüllen gedacht.</t>
        </is>
      </c>
    </row>
    <row r="11" ht="16" customHeight="1">
      <c r="B11" s="3" t="inlineStr">
        <is>
          <t>Weiße Zellen mit Zahlen sind Formeln — die rechnen automatisch, wenn du die gelben Zellen änderst. Bitte nicht überschreiben, sonst bricht die Rechnung.</t>
        </is>
      </c>
    </row>
    <row r="12" ht="16" customHeight="1"/>
    <row r="13" ht="16" customHeight="1"/>
    <row r="14" ht="16" customHeight="1">
      <c r="B14" s="25" t="inlineStr">
        <is>
          <t>Wichtig, damit hier keine Missverständnisse entstehen</t>
        </is>
      </c>
    </row>
    <row r="15" ht="16" customHeight="1">
      <c r="B15" s="6" t="inlineStr">
        <is>
          <t>•  Der Grenzsteuersatz, den du hier einträgst, ist eine Schätzung — trag den Wert ein, den dir deine Steuererklärung vom letzten Jahr oder dein:e Steuerberater:in nennt. Ohne diesen Wert kann diese Mappe nicht rechnen, was du wirklich zahlst.</t>
        </is>
      </c>
    </row>
    <row r="16" ht="16" customHeight="1">
      <c r="B16" s="6" t="inlineStr">
        <is>
          <t>•  Kirchensteuer und Solidaritätszuschlag sind hier nicht eingerechnet.</t>
        </is>
      </c>
    </row>
    <row r="17" ht="16" customHeight="1">
      <c r="B17" s="6" t="inlineStr">
        <is>
          <t>•  Physiotherapeutische Heilbehandlungen sind in der Regel nach § 4 Nr. 14 UStG umsatzsteuerbefreit — deshalb taucht in dieser Mappe keine Umsatzsteuer auf.</t>
        </is>
      </c>
    </row>
    <row r="18" ht="16" customHeight="1">
      <c r="B18" s="6" t="inlineStr">
        <is>
          <t>•  Das hier ersetzt keine Steuerberatung. Es ist ein Werkzeug, um mit realistischen Zahlen zu planen, keine Steuererklärung.</t>
        </is>
      </c>
    </row>
    <row r="19" ht="16" customHeight="1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46" customWidth="1" min="3" max="3"/>
  </cols>
  <sheetData>
    <row r="1" ht="26" customHeight="1">
      <c r="A1" s="23" t="inlineStr">
        <is>
          <t>Preis-Kalkulation</t>
        </is>
      </c>
    </row>
    <row r="2"/>
    <row r="3" ht="20" customHeight="1">
      <c r="A3" s="25" t="inlineStr">
        <is>
          <t>1 · Was muss ich verlangen?</t>
        </is>
      </c>
    </row>
    <row r="4">
      <c r="A4" s="6" t="inlineStr">
        <is>
          <t>Trag ein, was du willst und was du hast — die Mappe rechnet den nötigen Preis pro Behandlung aus.</t>
        </is>
      </c>
    </row>
    <row r="5"/>
    <row r="6">
      <c r="A6" s="3" t="inlineStr">
        <is>
          <t>Gewünschtes Nebeneinkommen pro Monat (netto)</t>
        </is>
      </c>
      <c r="B6" s="26" t="n">
        <v>500</v>
      </c>
    </row>
    <row r="7">
      <c r="A7" s="3" t="inlineStr">
        <is>
          <t>Geschätzter Grenzsteuersatz</t>
        </is>
      </c>
      <c r="B7" s="27" t="n">
        <v>0.35</v>
      </c>
    </row>
    <row r="8">
      <c r="A8" s="3" t="inlineStr">
        <is>
          <t>Jährliche Fixkosten (Berufshaftpflicht, Fortbildung, Material)</t>
        </is>
      </c>
      <c r="B8" s="26" t="n">
        <v>250</v>
      </c>
    </row>
    <row r="9">
      <c r="A9" s="3" t="inlineStr">
        <is>
          <t>Behandlungsdauer inkl. Fahrtzeit (Minuten)</t>
        </is>
      </c>
      <c r="B9" s="28" t="n">
        <v>60</v>
      </c>
    </row>
    <row r="10">
      <c r="A10" s="3" t="inlineStr">
        <is>
          <t>Verfügbare Stunden pro Woche</t>
        </is>
      </c>
      <c r="B10" s="29" t="n">
        <v>4</v>
      </c>
    </row>
    <row r="11"/>
    <row r="12" ht="18" customHeight="1">
      <c r="A12" s="11" t="inlineStr">
        <is>
          <t>Fixkosten pro Monat</t>
        </is>
      </c>
      <c r="B12" s="12">
        <f>B8/12</f>
        <v/>
      </c>
    </row>
    <row r="13" ht="18" customHeight="1">
      <c r="A13" s="11" t="inlineStr">
        <is>
          <t>Nötiger Gewinn pro Monat, vor Steuer</t>
        </is>
      </c>
      <c r="B13" s="12">
        <f>B6/(1-B7)</f>
        <v/>
      </c>
    </row>
    <row r="14" ht="18" customHeight="1">
      <c r="A14" s="11" t="inlineStr">
        <is>
          <t>Nötige Einnahmen pro Monat</t>
        </is>
      </c>
      <c r="B14" s="12">
        <f>B13+B12</f>
        <v/>
      </c>
    </row>
    <row r="15" ht="18" customHeight="1">
      <c r="A15" s="11" t="inlineStr">
        <is>
          <t>Mögliche Behandlungen pro Monat bei deiner Stundenzahl</t>
        </is>
      </c>
      <c r="B15" s="13">
        <f>(B10*4.33*60)/B9</f>
        <v/>
      </c>
    </row>
    <row r="16" ht="18" customHeight="1">
      <c r="A16" s="30" t="inlineStr">
        <is>
          <t>→ Nötiger Preis pro Behandlung</t>
        </is>
      </c>
      <c r="B16" s="31">
        <f>B14/B15</f>
        <v/>
      </c>
    </row>
    <row r="17"/>
    <row r="18"/>
    <row r="19" ht="20" customHeight="1">
      <c r="A19" s="25" t="inlineStr">
        <is>
          <t>2 · Was bleibt mir bei meinem geplanten Preis?</t>
        </is>
      </c>
    </row>
    <row r="20">
      <c r="A20" s="6" t="inlineStr">
        <is>
          <t>Die Gegenprobe: du kennst schon deinen Preis und willst wissen, was am Ende übrig bleibt.</t>
        </is>
      </c>
    </row>
    <row r="21"/>
    <row r="22">
      <c r="A22" s="3" t="inlineStr">
        <is>
          <t>Dein geplanter Preis pro Behandlung</t>
        </is>
      </c>
      <c r="B22" s="26" t="n">
        <v>70</v>
      </c>
    </row>
    <row r="23">
      <c r="A23" s="3" t="inlineStr">
        <is>
          <t>Geplante Behandlungen pro Monat</t>
        </is>
      </c>
      <c r="B23" s="28" t="n">
        <v>8</v>
      </c>
    </row>
    <row r="24"/>
    <row r="25" ht="18" customHeight="1">
      <c r="A25" s="11" t="inlineStr">
        <is>
          <t>Einnahmen pro Monat</t>
        </is>
      </c>
      <c r="B25" s="12">
        <f>B22*B23</f>
        <v/>
      </c>
    </row>
    <row r="26" ht="18" customHeight="1">
      <c r="A26" s="11" t="inlineStr">
        <is>
          <t>Gewinn pro Monat, vor Steuer</t>
        </is>
      </c>
      <c r="B26" s="12">
        <f>B25-B12</f>
        <v/>
      </c>
    </row>
    <row r="27" ht="18" customHeight="1">
      <c r="A27" s="30" t="inlineStr">
        <is>
          <t>→ Netto pro Monat, nach Steuer-Rücklage</t>
        </is>
      </c>
      <c r="B27" s="31">
        <f>B26*(1-B7)</f>
        <v/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50" customWidth="1" min="3" max="3"/>
  </cols>
  <sheetData>
    <row r="1" ht="26" customHeight="1">
      <c r="A1" s="23" t="inlineStr">
        <is>
          <t>Steuer-Rücklage</t>
        </is>
      </c>
    </row>
    <row r="2"/>
    <row r="3" ht="20" customHeight="1">
      <c r="A3" s="25" t="inlineStr">
        <is>
          <t>Betriebsausgaben im Jahr</t>
        </is>
      </c>
    </row>
    <row r="4">
      <c r="A4" s="3" t="inlineStr">
        <is>
          <t>Berufshaftpflicht</t>
        </is>
      </c>
      <c r="B4" s="26" t="n">
        <v>120</v>
      </c>
    </row>
    <row r="5">
      <c r="A5" s="3" t="inlineStr">
        <is>
          <t>Fahrtkosten</t>
        </is>
      </c>
      <c r="B5" s="26" t="n">
        <v>300</v>
      </c>
    </row>
    <row r="6">
      <c r="A6" s="3" t="inlineStr">
        <is>
          <t>Material / Verbrauchsmaterial</t>
        </is>
      </c>
      <c r="B6" s="26" t="n">
        <v>150</v>
      </c>
    </row>
    <row r="7">
      <c r="A7" s="3" t="inlineStr">
        <is>
          <t>Fortbildung</t>
        </is>
      </c>
      <c r="B7" s="26" t="n">
        <v>200</v>
      </c>
    </row>
    <row r="8">
      <c r="A8" s="3" t="inlineStr">
        <is>
          <t>Sonstiges</t>
        </is>
      </c>
      <c r="B8" s="26" t="n">
        <v>0</v>
      </c>
    </row>
    <row r="9">
      <c r="A9" s="11" t="inlineStr">
        <is>
          <t>Summe Betriebsausgaben</t>
        </is>
      </c>
      <c r="B9" s="16">
        <f>SUM(B4:B8)</f>
        <v/>
      </c>
    </row>
    <row r="10"/>
    <row r="11" ht="20" customHeight="1">
      <c r="A11" s="25" t="inlineStr">
        <is>
          <t>Einnahmen und Gewinn</t>
        </is>
      </c>
    </row>
    <row r="12">
      <c r="A12" s="3" t="inlineStr">
        <is>
          <t>Einnahmen im Jahr</t>
        </is>
      </c>
      <c r="B12" s="26" t="n">
        <v>6000</v>
      </c>
    </row>
    <row r="13">
      <c r="A13" s="11" t="inlineStr">
        <is>
          <t>Gewinn (Einnahmen − Ausgaben)</t>
        </is>
      </c>
      <c r="B13" s="16">
        <f>B12-B9</f>
        <v/>
      </c>
    </row>
    <row r="14"/>
    <row r="15" ht="20" customHeight="1">
      <c r="A15" s="25" t="inlineStr">
        <is>
          <t>Steuer-Rücklage</t>
        </is>
      </c>
    </row>
    <row r="16">
      <c r="A16" s="3" t="inlineStr">
        <is>
          <t>Geschätzter Grenzsteuersatz</t>
        </is>
      </c>
      <c r="B16" s="27" t="n">
        <v>0.35</v>
      </c>
    </row>
    <row r="17">
      <c r="A17" s="3" t="inlineStr">
        <is>
          <t>Sicherheitspuffer</t>
        </is>
      </c>
      <c r="B17" s="27" t="n">
        <v>0.05</v>
      </c>
    </row>
    <row r="18">
      <c r="A18" s="11" t="inlineStr">
        <is>
          <t>Geschätzte Einkommensteuer</t>
        </is>
      </c>
      <c r="B18" s="16">
        <f>B13*B16</f>
        <v/>
      </c>
    </row>
    <row r="19">
      <c r="A19" s="30" t="inlineStr">
        <is>
          <t>→ Empfohlene Rücklage</t>
        </is>
      </c>
      <c r="B19" s="31">
        <f>B13*(B16+B17)</f>
        <v/>
      </c>
    </row>
    <row r="20">
      <c r="A20" s="30" t="inlineStr">
        <is>
          <t>→ Voraussichtliches Netto nach Rücklage</t>
        </is>
      </c>
      <c r="B20" s="31">
        <f>B13-B19</f>
        <v/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6" customHeight="1">
      <c r="A1" s="23" t="inlineStr">
        <is>
          <t>EÜR — Einnahmen-Überschuss-Rechnung</t>
        </is>
      </c>
    </row>
    <row r="2">
      <c r="A2" s="6" t="inlineStr">
        <is>
          <t>Die vereinfachte Gewinnermittlung nach § 4 Abs. 3 EStG — die Form, die Freiberufler:innen wie Physiotherapeut:innen nutzen dürfen, ohne Bilanz und ohne doppelte Buchführung.</t>
        </is>
      </c>
    </row>
    <row r="3"/>
    <row r="4" ht="30" customHeight="1">
      <c r="A4" s="17" t="inlineStr">
        <is>
          <t>Monat</t>
        </is>
      </c>
      <c r="B4" s="17" t="inlineStr">
        <is>
          <t>Einnahmen</t>
        </is>
      </c>
      <c r="C4" s="17" t="inlineStr">
        <is>
          <t>Versicherung</t>
        </is>
      </c>
      <c r="D4" s="17" t="inlineStr">
        <is>
          <t>Fahrtkosten</t>
        </is>
      </c>
      <c r="E4" s="17" t="inlineStr">
        <is>
          <t>Material</t>
        </is>
      </c>
      <c r="F4" s="17" t="inlineStr">
        <is>
          <t>Fortbildung</t>
        </is>
      </c>
      <c r="G4" s="17" t="inlineStr">
        <is>
          <t>Sonstiges</t>
        </is>
      </c>
      <c r="H4" s="17" t="inlineStr">
        <is>
          <t>Summe Ausgaben</t>
        </is>
      </c>
      <c r="I4" s="17" t="inlineStr">
        <is>
          <t>Gewinn / Verlust</t>
        </is>
      </c>
    </row>
    <row r="5">
      <c r="A5" s="18" t="inlineStr">
        <is>
          <t>Januar</t>
        </is>
      </c>
      <c r="B5" s="32" t="n">
        <v>0</v>
      </c>
      <c r="C5" s="32" t="n">
        <v>0</v>
      </c>
      <c r="D5" s="32" t="n">
        <v>0</v>
      </c>
      <c r="E5" s="32" t="n">
        <v>0</v>
      </c>
      <c r="F5" s="32" t="n">
        <v>0</v>
      </c>
      <c r="G5" s="32" t="n">
        <v>0</v>
      </c>
      <c r="H5" s="12">
        <f>SUM(C5:G5)</f>
        <v/>
      </c>
      <c r="I5" s="12">
        <f>B5-H5</f>
        <v/>
      </c>
    </row>
    <row r="6">
      <c r="A6" s="18" t="inlineStr">
        <is>
          <t>Februar</t>
        </is>
      </c>
      <c r="B6" s="32" t="n">
        <v>0</v>
      </c>
      <c r="C6" s="32" t="n">
        <v>0</v>
      </c>
      <c r="D6" s="32" t="n">
        <v>0</v>
      </c>
      <c r="E6" s="32" t="n">
        <v>0</v>
      </c>
      <c r="F6" s="32" t="n">
        <v>0</v>
      </c>
      <c r="G6" s="32" t="n">
        <v>0</v>
      </c>
      <c r="H6" s="12">
        <f>SUM(C6:G6)</f>
        <v/>
      </c>
      <c r="I6" s="12">
        <f>B6-H6</f>
        <v/>
      </c>
    </row>
    <row r="7">
      <c r="A7" s="18" t="inlineStr">
        <is>
          <t>März</t>
        </is>
      </c>
      <c r="B7" s="32" t="n">
        <v>0</v>
      </c>
      <c r="C7" s="32" t="n">
        <v>0</v>
      </c>
      <c r="D7" s="32" t="n">
        <v>0</v>
      </c>
      <c r="E7" s="32" t="n">
        <v>0</v>
      </c>
      <c r="F7" s="32" t="n">
        <v>0</v>
      </c>
      <c r="G7" s="32" t="n">
        <v>0</v>
      </c>
      <c r="H7" s="12">
        <f>SUM(C7:G7)</f>
        <v/>
      </c>
      <c r="I7" s="12">
        <f>B7-H7</f>
        <v/>
      </c>
    </row>
    <row r="8">
      <c r="A8" s="18" t="inlineStr">
        <is>
          <t>April</t>
        </is>
      </c>
      <c r="B8" s="32" t="n">
        <v>0</v>
      </c>
      <c r="C8" s="32" t="n">
        <v>0</v>
      </c>
      <c r="D8" s="32" t="n">
        <v>0</v>
      </c>
      <c r="E8" s="32" t="n">
        <v>0</v>
      </c>
      <c r="F8" s="32" t="n">
        <v>0</v>
      </c>
      <c r="G8" s="32" t="n">
        <v>0</v>
      </c>
      <c r="H8" s="12">
        <f>SUM(C8:G8)</f>
        <v/>
      </c>
      <c r="I8" s="12">
        <f>B8-H8</f>
        <v/>
      </c>
    </row>
    <row r="9">
      <c r="A9" s="18" t="inlineStr">
        <is>
          <t>Mai</t>
        </is>
      </c>
      <c r="B9" s="32" t="n">
        <v>0</v>
      </c>
      <c r="C9" s="32" t="n">
        <v>0</v>
      </c>
      <c r="D9" s="32" t="n">
        <v>0</v>
      </c>
      <c r="E9" s="32" t="n">
        <v>0</v>
      </c>
      <c r="F9" s="32" t="n">
        <v>0</v>
      </c>
      <c r="G9" s="32" t="n">
        <v>0</v>
      </c>
      <c r="H9" s="12">
        <f>SUM(C9:G9)</f>
        <v/>
      </c>
      <c r="I9" s="12">
        <f>B9-H9</f>
        <v/>
      </c>
    </row>
    <row r="10">
      <c r="A10" s="18" t="inlineStr">
        <is>
          <t>Juni</t>
        </is>
      </c>
      <c r="B10" s="32" t="n">
        <v>0</v>
      </c>
      <c r="C10" s="32" t="n">
        <v>0</v>
      </c>
      <c r="D10" s="32" t="n">
        <v>0</v>
      </c>
      <c r="E10" s="32" t="n">
        <v>0</v>
      </c>
      <c r="F10" s="32" t="n">
        <v>0</v>
      </c>
      <c r="G10" s="32" t="n">
        <v>0</v>
      </c>
      <c r="H10" s="12">
        <f>SUM(C10:G10)</f>
        <v/>
      </c>
      <c r="I10" s="12">
        <f>B10-H10</f>
        <v/>
      </c>
    </row>
    <row r="11">
      <c r="A11" s="18" t="inlineStr">
        <is>
          <t>Juli</t>
        </is>
      </c>
      <c r="B11" s="32" t="n">
        <v>0</v>
      </c>
      <c r="C11" s="32" t="n">
        <v>0</v>
      </c>
      <c r="D11" s="32" t="n">
        <v>0</v>
      </c>
      <c r="E11" s="32" t="n">
        <v>0</v>
      </c>
      <c r="F11" s="32" t="n">
        <v>0</v>
      </c>
      <c r="G11" s="32" t="n">
        <v>0</v>
      </c>
      <c r="H11" s="12">
        <f>SUM(C11:G11)</f>
        <v/>
      </c>
      <c r="I11" s="12">
        <f>B11-H11</f>
        <v/>
      </c>
    </row>
    <row r="12">
      <c r="A12" s="18" t="inlineStr">
        <is>
          <t>August</t>
        </is>
      </c>
      <c r="B12" s="32" t="n">
        <v>0</v>
      </c>
      <c r="C12" s="32" t="n">
        <v>0</v>
      </c>
      <c r="D12" s="32" t="n">
        <v>0</v>
      </c>
      <c r="E12" s="32" t="n">
        <v>0</v>
      </c>
      <c r="F12" s="32" t="n">
        <v>0</v>
      </c>
      <c r="G12" s="32" t="n">
        <v>0</v>
      </c>
      <c r="H12" s="12">
        <f>SUM(C12:G12)</f>
        <v/>
      </c>
      <c r="I12" s="12">
        <f>B12-H12</f>
        <v/>
      </c>
    </row>
    <row r="13">
      <c r="A13" s="18" t="inlineStr">
        <is>
          <t>September</t>
        </is>
      </c>
      <c r="B13" s="32" t="n">
        <v>0</v>
      </c>
      <c r="C13" s="32" t="n">
        <v>0</v>
      </c>
      <c r="D13" s="32" t="n">
        <v>0</v>
      </c>
      <c r="E13" s="32" t="n">
        <v>0</v>
      </c>
      <c r="F13" s="32" t="n">
        <v>0</v>
      </c>
      <c r="G13" s="32" t="n">
        <v>0</v>
      </c>
      <c r="H13" s="12">
        <f>SUM(C13:G13)</f>
        <v/>
      </c>
      <c r="I13" s="12">
        <f>B13-H13</f>
        <v/>
      </c>
    </row>
    <row r="14">
      <c r="A14" s="18" t="inlineStr">
        <is>
          <t>Oktober</t>
        </is>
      </c>
      <c r="B14" s="32" t="n">
        <v>0</v>
      </c>
      <c r="C14" s="32" t="n">
        <v>0</v>
      </c>
      <c r="D14" s="32" t="n">
        <v>0</v>
      </c>
      <c r="E14" s="32" t="n">
        <v>0</v>
      </c>
      <c r="F14" s="32" t="n">
        <v>0</v>
      </c>
      <c r="G14" s="32" t="n">
        <v>0</v>
      </c>
      <c r="H14" s="12">
        <f>SUM(C14:G14)</f>
        <v/>
      </c>
      <c r="I14" s="12">
        <f>B14-H14</f>
        <v/>
      </c>
    </row>
    <row r="15">
      <c r="A15" s="18" t="inlineStr">
        <is>
          <t>November</t>
        </is>
      </c>
      <c r="B15" s="32" t="n">
        <v>0</v>
      </c>
      <c r="C15" s="32" t="n">
        <v>0</v>
      </c>
      <c r="D15" s="32" t="n">
        <v>0</v>
      </c>
      <c r="E15" s="32" t="n">
        <v>0</v>
      </c>
      <c r="F15" s="32" t="n">
        <v>0</v>
      </c>
      <c r="G15" s="32" t="n">
        <v>0</v>
      </c>
      <c r="H15" s="12">
        <f>SUM(C15:G15)</f>
        <v/>
      </c>
      <c r="I15" s="12">
        <f>B15-H15</f>
        <v/>
      </c>
    </row>
    <row r="16">
      <c r="A16" s="18" t="inlineStr">
        <is>
          <t>Dezember</t>
        </is>
      </c>
      <c r="B16" s="32" t="n">
        <v>0</v>
      </c>
      <c r="C16" s="32" t="n">
        <v>0</v>
      </c>
      <c r="D16" s="32" t="n">
        <v>0</v>
      </c>
      <c r="E16" s="32" t="n">
        <v>0</v>
      </c>
      <c r="F16" s="32" t="n">
        <v>0</v>
      </c>
      <c r="G16" s="32" t="n">
        <v>0</v>
      </c>
      <c r="H16" s="12">
        <f>SUM(C16:G16)</f>
        <v/>
      </c>
      <c r="I16" s="12">
        <f>B16-H16</f>
        <v/>
      </c>
    </row>
    <row r="17">
      <c r="A17" s="33" t="inlineStr">
        <is>
          <t>Jahressumme</t>
        </is>
      </c>
      <c r="B17" s="16">
        <f>SUM(B5:B16)</f>
        <v/>
      </c>
      <c r="C17" s="16">
        <f>SUM(C5:C16)</f>
        <v/>
      </c>
      <c r="D17" s="16">
        <f>SUM(D5:D16)</f>
        <v/>
      </c>
      <c r="E17" s="16">
        <f>SUM(E5:E16)</f>
        <v/>
      </c>
      <c r="F17" s="16">
        <f>SUM(F5:F16)</f>
        <v/>
      </c>
      <c r="G17" s="16">
        <f>SUM(G5:G16)</f>
        <v/>
      </c>
      <c r="H17" s="16">
        <f>SUM(H5:H16)</f>
        <v/>
      </c>
      <c r="I17" s="16">
        <f>SUM(I5:I16)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26" customHeight="1">
      <c r="A1" s="23" t="inlineStr">
        <is>
          <t>Behandlungsdokumentation</t>
        </is>
      </c>
    </row>
    <row r="2">
      <c r="A2" s="6" t="inlineStr">
        <is>
          <t>Tipp aus Kapitel 07 des Fahrplans: führe Patient:innen hier mit Kürzel statt vollem Namen, und bewahre die vollen Namen getrennt und sicher auf.</t>
        </is>
      </c>
    </row>
    <row r="3"/>
    <row r="4" ht="26" customHeight="1">
      <c r="A4" s="17" t="inlineStr">
        <is>
          <t>Datum</t>
        </is>
      </c>
      <c r="B4" s="17" t="inlineStr">
        <is>
          <t>Patient:in (Kürzel)</t>
        </is>
      </c>
      <c r="C4" s="17" t="inlineStr">
        <is>
          <t>Anamnese &amp; Befund</t>
        </is>
      </c>
      <c r="D4" s="17" t="inlineStr">
        <is>
          <t>Behandlung</t>
        </is>
      </c>
      <c r="E4" s="17" t="inlineStr">
        <is>
          <t>Verlauf / Reaktion</t>
        </is>
      </c>
      <c r="F4" s="17" t="inlineStr">
        <is>
          <t>Nächste Schritte</t>
        </is>
      </c>
    </row>
    <row r="5">
      <c r="A5" s="21" t="inlineStr">
        <is>
          <t>01.03.2026</t>
        </is>
      </c>
      <c r="B5" s="22" t="inlineStr">
        <is>
          <t>M.K.</t>
        </is>
      </c>
      <c r="C5" s="22" t="inlineStr">
        <is>
          <t>Verspannung LWS, kein Trauma</t>
        </is>
      </c>
      <c r="D5" s="22" t="inlineStr">
        <is>
          <t>Manuelle Therapie, Wärme</t>
        </is>
      </c>
      <c r="E5" s="22" t="inlineStr">
        <is>
          <t>Deutlich weniger Schmerz</t>
        </is>
      </c>
      <c r="F5" s="22" t="inlineStr">
        <is>
          <t>Termin in 1 Woche</t>
        </is>
      </c>
    </row>
    <row r="6" ht="30" customHeight="1">
      <c r="A6" s="21" t="n"/>
      <c r="B6" s="21" t="n"/>
      <c r="C6" s="21" t="n"/>
      <c r="D6" s="21" t="n"/>
      <c r="E6" s="21" t="n"/>
      <c r="F6" s="21" t="n"/>
    </row>
    <row r="7" ht="30" customHeight="1">
      <c r="A7" s="21" t="n"/>
      <c r="B7" s="21" t="n"/>
      <c r="C7" s="21" t="n"/>
      <c r="D7" s="21" t="n"/>
      <c r="E7" s="21" t="n"/>
      <c r="F7" s="21" t="n"/>
    </row>
    <row r="8" ht="30" customHeight="1">
      <c r="A8" s="21" t="n"/>
      <c r="B8" s="21" t="n"/>
      <c r="C8" s="21" t="n"/>
      <c r="D8" s="21" t="n"/>
      <c r="E8" s="21" t="n"/>
      <c r="F8" s="21" t="n"/>
    </row>
    <row r="9" ht="30" customHeight="1">
      <c r="A9" s="21" t="n"/>
      <c r="B9" s="21" t="n"/>
      <c r="C9" s="21" t="n"/>
      <c r="D9" s="21" t="n"/>
      <c r="E9" s="21" t="n"/>
      <c r="F9" s="21" t="n"/>
    </row>
    <row r="10" ht="30" customHeight="1">
      <c r="A10" s="21" t="n"/>
      <c r="B10" s="21" t="n"/>
      <c r="C10" s="21" t="n"/>
      <c r="D10" s="21" t="n"/>
      <c r="E10" s="21" t="n"/>
      <c r="F10" s="21" t="n"/>
    </row>
    <row r="11" ht="30" customHeight="1">
      <c r="A11" s="21" t="n"/>
      <c r="B11" s="21" t="n"/>
      <c r="C11" s="21" t="n"/>
      <c r="D11" s="21" t="n"/>
      <c r="E11" s="21" t="n"/>
      <c r="F11" s="21" t="n"/>
    </row>
    <row r="12" ht="30" customHeight="1">
      <c r="A12" s="21" t="n"/>
      <c r="B12" s="21" t="n"/>
      <c r="C12" s="21" t="n"/>
      <c r="D12" s="21" t="n"/>
      <c r="E12" s="21" t="n"/>
      <c r="F12" s="21" t="n"/>
    </row>
    <row r="13" ht="30" customHeight="1">
      <c r="A13" s="21" t="n"/>
      <c r="B13" s="21" t="n"/>
      <c r="C13" s="21" t="n"/>
      <c r="D13" s="21" t="n"/>
      <c r="E13" s="21" t="n"/>
      <c r="F13" s="21" t="n"/>
    </row>
    <row r="14" ht="30" customHeight="1">
      <c r="A14" s="21" t="n"/>
      <c r="B14" s="21" t="n"/>
      <c r="C14" s="21" t="n"/>
      <c r="D14" s="21" t="n"/>
      <c r="E14" s="21" t="n"/>
      <c r="F14" s="21" t="n"/>
    </row>
    <row r="15" ht="30" customHeight="1">
      <c r="A15" s="21" t="n"/>
      <c r="B15" s="21" t="n"/>
      <c r="C15" s="21" t="n"/>
      <c r="D15" s="21" t="n"/>
      <c r="E15" s="21" t="n"/>
      <c r="F15" s="21" t="n"/>
    </row>
    <row r="16" ht="30" customHeight="1">
      <c r="A16" s="21" t="n"/>
      <c r="B16" s="21" t="n"/>
      <c r="C16" s="21" t="n"/>
      <c r="D16" s="21" t="n"/>
      <c r="E16" s="21" t="n"/>
      <c r="F16" s="21" t="n"/>
    </row>
    <row r="17" ht="30" customHeight="1">
      <c r="A17" s="21" t="n"/>
      <c r="B17" s="21" t="n"/>
      <c r="C17" s="21" t="n"/>
      <c r="D17" s="21" t="n"/>
      <c r="E17" s="21" t="n"/>
      <c r="F17" s="21" t="n"/>
    </row>
    <row r="18" ht="30" customHeight="1">
      <c r="A18" s="21" t="n"/>
      <c r="B18" s="21" t="n"/>
      <c r="C18" s="21" t="n"/>
      <c r="D18" s="21" t="n"/>
      <c r="E18" s="21" t="n"/>
      <c r="F18" s="21" t="n"/>
    </row>
    <row r="19" ht="30" customHeight="1">
      <c r="A19" s="21" t="n"/>
      <c r="B19" s="21" t="n"/>
      <c r="C19" s="21" t="n"/>
      <c r="D19" s="21" t="n"/>
      <c r="E19" s="21" t="n"/>
      <c r="F19" s="21" t="n"/>
    </row>
    <row r="20" ht="30" customHeight="1">
      <c r="A20" s="21" t="n"/>
      <c r="B20" s="21" t="n"/>
      <c r="C20" s="21" t="n"/>
      <c r="D20" s="21" t="n"/>
      <c r="E20" s="21" t="n"/>
      <c r="F20" s="21" t="n"/>
    </row>
    <row r="21" ht="30" customHeight="1">
      <c r="A21" s="21" t="n"/>
      <c r="B21" s="21" t="n"/>
      <c r="C21" s="21" t="n"/>
      <c r="D21" s="21" t="n"/>
      <c r="E21" s="21" t="n"/>
      <c r="F21" s="21" t="n"/>
    </row>
    <row r="22" ht="30" customHeight="1">
      <c r="A22" s="21" t="n"/>
      <c r="B22" s="21" t="n"/>
      <c r="C22" s="21" t="n"/>
      <c r="D22" s="21" t="n"/>
      <c r="E22" s="21" t="n"/>
      <c r="F22" s="21" t="n"/>
    </row>
    <row r="23" ht="30" customHeight="1">
      <c r="A23" s="21" t="n"/>
      <c r="B23" s="21" t="n"/>
      <c r="C23" s="21" t="n"/>
      <c r="D23" s="21" t="n"/>
      <c r="E23" s="21" t="n"/>
      <c r="F23" s="21" t="n"/>
    </row>
    <row r="24" ht="30" customHeight="1">
      <c r="A24" s="21" t="n"/>
      <c r="B24" s="21" t="n"/>
      <c r="C24" s="21" t="n"/>
      <c r="D24" s="21" t="n"/>
      <c r="E24" s="21" t="n"/>
      <c r="F24" s="21" t="n"/>
    </row>
    <row r="25" ht="30" customHeight="1">
      <c r="A25" s="21" t="n"/>
      <c r="B25" s="21" t="n"/>
      <c r="C25" s="21" t="n"/>
      <c r="D25" s="21" t="n"/>
      <c r="E25" s="21" t="n"/>
      <c r="F25" s="21" t="n"/>
    </row>
    <row r="26" ht="30" customHeight="1">
      <c r="A26" s="21" t="n"/>
      <c r="B26" s="21" t="n"/>
      <c r="C26" s="21" t="n"/>
      <c r="D26" s="21" t="n"/>
      <c r="E26" s="21" t="n"/>
      <c r="F26" s="21" t="n"/>
    </row>
    <row r="27" ht="30" customHeight="1">
      <c r="A27" s="21" t="n"/>
      <c r="B27" s="21" t="n"/>
      <c r="C27" s="21" t="n"/>
      <c r="D27" s="21" t="n"/>
      <c r="E27" s="21" t="n"/>
      <c r="F27" s="21" t="n"/>
    </row>
    <row r="28" ht="30" customHeight="1">
      <c r="A28" s="21" t="n"/>
      <c r="B28" s="21" t="n"/>
      <c r="C28" s="21" t="n"/>
      <c r="D28" s="21" t="n"/>
      <c r="E28" s="21" t="n"/>
      <c r="F28" s="21" t="n"/>
    </row>
    <row r="29" ht="30" customHeight="1">
      <c r="A29" s="21" t="n"/>
      <c r="B29" s="21" t="n"/>
      <c r="C29" s="21" t="n"/>
      <c r="D29" s="21" t="n"/>
      <c r="E29" s="21" t="n"/>
      <c r="F29" s="21" t="n"/>
    </row>
    <row r="30" ht="30" customHeight="1">
      <c r="A30" s="21" t="n"/>
      <c r="B30" s="21" t="n"/>
      <c r="C30" s="21" t="n"/>
      <c r="D30" s="21" t="n"/>
      <c r="E30" s="21" t="n"/>
      <c r="F30" s="21" t="n"/>
    </row>
    <row r="31" ht="30" customHeight="1">
      <c r="A31" s="21" t="n"/>
      <c r="B31" s="21" t="n"/>
      <c r="C31" s="21" t="n"/>
      <c r="D31" s="21" t="n"/>
      <c r="E31" s="21" t="n"/>
      <c r="F31" s="21" t="n"/>
    </row>
    <row r="32" ht="30" customHeight="1">
      <c r="A32" s="21" t="n"/>
      <c r="B32" s="21" t="n"/>
      <c r="C32" s="21" t="n"/>
      <c r="D32" s="21" t="n"/>
      <c r="E32" s="21" t="n"/>
      <c r="F32" s="21" t="n"/>
    </row>
    <row r="33" ht="30" customHeight="1">
      <c r="A33" s="21" t="n"/>
      <c r="B33" s="21" t="n"/>
      <c r="C33" s="21" t="n"/>
      <c r="D33" s="21" t="n"/>
      <c r="E33" s="21" t="n"/>
      <c r="F33" s="21" t="n"/>
    </row>
    <row r="34" ht="30" customHeight="1">
      <c r="A34" s="21" t="n"/>
      <c r="B34" s="21" t="n"/>
      <c r="C34" s="21" t="n"/>
      <c r="D34" s="21" t="n"/>
      <c r="E34" s="21" t="n"/>
      <c r="F34" s="21" t="n"/>
    </row>
    <row r="35" ht="30" customHeight="1">
      <c r="A35" s="21" t="n"/>
      <c r="B35" s="21" t="n"/>
      <c r="C35" s="21" t="n"/>
      <c r="D35" s="21" t="n"/>
      <c r="E35" s="21" t="n"/>
      <c r="F35" s="21" t="n"/>
    </row>
    <row r="36" ht="30" customHeight="1">
      <c r="A36" s="21" t="n"/>
      <c r="B36" s="21" t="n"/>
      <c r="C36" s="21" t="n"/>
      <c r="D36" s="21" t="n"/>
      <c r="E36" s="21" t="n"/>
      <c r="F36" s="21" t="n"/>
    </row>
    <row r="37" ht="30" customHeight="1">
      <c r="A37" s="21" t="n"/>
      <c r="B37" s="21" t="n"/>
      <c r="C37" s="21" t="n"/>
      <c r="D37" s="21" t="n"/>
      <c r="E37" s="21" t="n"/>
      <c r="F37" s="21" t="n"/>
    </row>
    <row r="38" ht="30" customHeight="1">
      <c r="A38" s="21" t="n"/>
      <c r="B38" s="21" t="n"/>
      <c r="C38" s="21" t="n"/>
      <c r="D38" s="21" t="n"/>
      <c r="E38" s="21" t="n"/>
      <c r="F38" s="21" t="n"/>
    </row>
    <row r="39" ht="30" customHeight="1">
      <c r="A39" s="21" t="n"/>
      <c r="B39" s="21" t="n"/>
      <c r="C39" s="21" t="n"/>
      <c r="D39" s="21" t="n"/>
      <c r="E39" s="21" t="n"/>
      <c r="F39" s="21" t="n"/>
    </row>
    <row r="40" ht="30" customHeight="1">
      <c r="A40" s="21" t="n"/>
      <c r="B40" s="21" t="n"/>
      <c r="C40" s="21" t="n"/>
      <c r="D40" s="21" t="n"/>
      <c r="E40" s="21" t="n"/>
      <c r="F40" s="21" t="n"/>
    </row>
    <row r="41" ht="30" customHeight="1">
      <c r="A41" s="21" t="n"/>
      <c r="B41" s="21" t="n"/>
      <c r="C41" s="21" t="n"/>
      <c r="D41" s="21" t="n"/>
      <c r="E41" s="21" t="n"/>
      <c r="F41" s="21" t="n"/>
    </row>
    <row r="42" ht="30" customHeight="1">
      <c r="A42" s="21" t="n"/>
      <c r="B42" s="21" t="n"/>
      <c r="C42" s="21" t="n"/>
      <c r="D42" s="21" t="n"/>
      <c r="E42" s="21" t="n"/>
      <c r="F42" s="21" t="n"/>
    </row>
    <row r="43" ht="30" customHeight="1">
      <c r="A43" s="21" t="n"/>
      <c r="B43" s="21" t="n"/>
      <c r="C43" s="21" t="n"/>
      <c r="D43" s="21" t="n"/>
      <c r="E43" s="21" t="n"/>
      <c r="F43" s="21" t="n"/>
    </row>
    <row r="44" ht="30" customHeight="1">
      <c r="A44" s="21" t="n"/>
      <c r="B44" s="21" t="n"/>
      <c r="C44" s="21" t="n"/>
      <c r="D44" s="21" t="n"/>
      <c r="E44" s="21" t="n"/>
      <c r="F44" s="21" t="n"/>
    </row>
    <row r="45" ht="30" customHeight="1">
      <c r="A45" s="21" t="n"/>
      <c r="B45" s="21" t="n"/>
      <c r="C45" s="21" t="n"/>
      <c r="D45" s="21" t="n"/>
      <c r="E45" s="21" t="n"/>
      <c r="F45" s="21" t="n"/>
    </row>
  </sheetData>
  <mergeCells count="2">
    <mergeCell ref="A2:F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2026-09-03T15:20:12Z</dcterms:created>
  <dcterms:modified xmlns:dcterms="http://purl.org/dc/terms/" xmlns:xsi="http://www.w3.org/2001/XMLSchema-instance" xsi:type="dcterms:W3CDTF">2026-09-04T16:29:53Z</dcterms:modified>
</cp:coreProperties>
</file>